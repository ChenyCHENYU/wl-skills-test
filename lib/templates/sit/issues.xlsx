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览" sheetId="2" r:id="rId5"/>
    <sheet name="营销" sheetId="3" r:id="rId6"/>
    <sheet name="品质" sheetId="4" r:id="rId7"/>
    <sheet name="计划" sheetId="5" r:id="rId8"/>
    <sheet name="炼钢" sheetId="6" r:id="rId9"/>
    <sheet name="轧钢" sheetId="7" r:id="rId10"/>
    <sheet name="精整" sheetId="8" r:id="rId11"/>
    <sheet name="冷精" sheetId="9" r:id="rId12"/>
    <sheet name="仓储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0"/>
    <numFmt numFmtId="165" formatCode="yyyy-mm-dd"/>
    <numFmt numFmtId="166" formatCode="yyyy-mm-dd"/>
    <numFmt numFmtId="167" formatCode="yyyy-mm-dd"/>
    <numFmt numFmtId="168" formatCode="yyyy-mm-dd"/>
    <numFmt numFmtId="169" formatCode="yyyy-mm-dd"/>
    <numFmt numFmtId="170" formatCode="yyyy-mm-dd"/>
    <numFmt numFmtId="171" formatCode="yyyy-mm-dd"/>
    <numFmt numFmtId="172" formatCode="yyyy-mm-dd"/>
  </numFmts>
  <fonts count="8">
    <font>
      <sz val="12"/>
      <color theme="1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8"/>
      <color rgb="FF6B728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E5BC6"/>
        <bgColor/>
      </patternFill>
    </fill>
    <fill>
      <patternFill patternType="solid">
        <fgColor rgb="FFF5F7FA"/>
        <bgColor/>
      </patternFill>
    </fill>
    <fill>
      <patternFill patternType="solid">
        <fgColor rgb="FFDDEBF7"/>
        <bgColor/>
      </patternFill>
    </fill>
    <fill>
      <patternFill patternType="solid">
        <fgColor rgb="FFD6E4F0"/>
        <bgColor/>
      </patternFill>
    </fill>
    <fill>
      <patternFill patternType="solid">
        <fgColor rgb="FFEBF1F8"/>
        <bgColor/>
      </patternFill>
    </fill>
    <fill>
      <patternFill patternType="solid">
        <fgColor rgb="FFF3F4F6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D9D9D9"/>
        <bgColor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999999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3" fontId="2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/>
    </xf>
    <xf applyAlignment="true" applyBorder="false" applyFill="true" applyFont="true" applyNumberFormat="false" applyProtection="false" borderId="1" fillId="5" fontId="4" numFmtId="0" xfId="0">
      <alignment horizontal="center" vertical="center"/>
    </xf>
    <xf applyAlignment="true" applyBorder="false" applyFill="true" applyFont="true" applyNumberFormat="false" applyProtection="false" borderId="1" fillId="5" fontId="4" numFmtId="0" xfId="0">
      <alignment horizontal="center" vertical="center"/>
    </xf>
    <xf applyAlignment="true" applyBorder="false" applyFill="true" applyFont="true" applyNumberFormat="false" applyProtection="false" borderId="1" fillId="6" fontId="4" numFmtId="0" xfId="0">
      <alignment horizontal="center" vertical="center"/>
    </xf>
    <xf applyAlignment="true" applyBorder="false" applyFill="true" applyFont="true" applyNumberFormat="true" applyProtection="false" borderId="1" fillId="6" fontId="4" numFmtId="164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true" applyProtection="false" borderId="1" fillId="0" fontId="5" numFmtId="164" xfId="0">
      <alignment horizontal="center" vertical="center"/>
    </xf>
    <xf applyAlignment="true" applyBorder="false" applyFill="true" applyFont="true" applyNumberFormat="false" applyProtection="false" borderId="1" fillId="7" fontId="5" numFmtId="0" xfId="0">
      <alignment horizontal="center" vertical="center"/>
    </xf>
    <xf applyAlignment="true" applyBorder="false" applyFill="true" applyFont="true" applyNumberFormat="true" applyProtection="false" borderId="1" fillId="7" fontId="5" numFmtId="164" xfId="0">
      <alignment horizontal="center" vertical="center"/>
    </xf>
    <xf applyAlignment="true" applyBorder="false" applyFill="true" applyFont="true" applyNumberFormat="false" applyProtection="false" borderId="2" fillId="5" fontId="4" numFmtId="0" xfId="0">
      <alignment horizontal="center" vertical="center"/>
    </xf>
    <xf applyAlignment="true" applyBorder="false" applyFill="true" applyFont="true" applyNumberFormat="true" applyProtection="false" borderId="2" fillId="5" fontId="4" numFmtId="164" xfId="0">
      <alignment horizontal="center" vertical="center"/>
    </xf>
    <xf applyAlignment="true" applyBorder="false" applyFill="true" applyFont="true" applyNumberFormat="false" applyProtection="false" borderId="0" fillId="4" fontId="3" numFmtId="0" xfId="0">
      <alignment horizontal="left" vertical="center"/>
    </xf>
    <xf applyAlignment="true" applyBorder="false" applyFill="true" applyFont="true" applyNumberFormat="false" applyProtection="false" borderId="3" fillId="8" fontId="6" numFmtId="0" xfId="0">
      <alignment horizontal="center" vertical="center"/>
    </xf>
    <xf applyAlignment="true" applyBorder="false" applyFill="true" applyFont="true" applyNumberFormat="false" applyProtection="false" borderId="3" fillId="9" fontId="6" numFmtId="0" xfId="0">
      <alignment horizontal="center" vertical="center"/>
    </xf>
    <xf applyAlignment="true" applyBorder="false" applyFill="true" applyFont="true" applyNumberFormat="false" applyProtection="false" borderId="3" fillId="9" fontId="6" numFmtId="0" xfId="0">
      <alignment horizontal="center" vertical="center" wrapText="true"/>
    </xf>
    <xf applyAlignment="true" applyBorder="false" applyFill="true" applyFont="true" applyNumberFormat="false" applyProtection="false" borderId="3" fillId="10" fontId="6" numFmtId="0" xfId="0">
      <alignment horizontal="center" vertical="center"/>
    </xf>
    <xf applyAlignment="true" applyBorder="false" applyFill="true" applyFont="true" applyNumberFormat="false" applyProtection="false" borderId="3" fillId="11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65" xfId="0">
      <alignment vertical="center"/>
    </xf>
    <xf applyAlignment="true" applyBorder="false" applyFill="false" applyFont="true" applyNumberFormat="true" applyProtection="false" borderId="0" fillId="0" fontId="5" numFmtId="165" xfId="0">
      <alignment vertical="center"/>
    </xf>
    <xf applyAlignment="true" applyBorder="false" applyFill="true" applyFont="true" applyNumberFormat="false" applyProtection="false" borderId="4" fillId="12" fontId="6" numFmtId="0" xfId="0">
      <alignment horizontal="center" vertical="center"/>
    </xf>
    <xf applyAlignment="true" applyBorder="false" applyFill="true" applyFont="true" applyNumberFormat="false" applyProtection="false" borderId="4" fillId="13" fontId="6" numFmtId="0" xfId="0">
      <alignment horizontal="center" vertical="center"/>
    </xf>
    <xf applyAlignment="true" applyBorder="false" applyFill="true" applyFont="true" applyNumberFormat="false" applyProtection="false" borderId="4" fillId="13" fontId="6" numFmtId="0" xfId="0">
      <alignment horizontal="center" vertical="center" wrapText="true"/>
    </xf>
    <xf applyAlignment="true" applyBorder="false" applyFill="true" applyFont="true" applyNumberFormat="false" applyProtection="false" borderId="4" fillId="14" fontId="6" numFmtId="0" xfId="0">
      <alignment horizontal="center" vertical="center"/>
    </xf>
    <xf applyAlignment="true" applyBorder="false" applyFill="true" applyFont="true" applyNumberFormat="false" applyProtection="false" borderId="4" fillId="15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66" xfId="0">
      <alignment vertical="center"/>
    </xf>
    <xf applyAlignment="true" applyBorder="false" applyFill="false" applyFont="true" applyNumberFormat="true" applyProtection="false" borderId="0" fillId="0" fontId="5" numFmtId="166" xfId="0">
      <alignment vertical="center"/>
    </xf>
    <xf applyAlignment="true" applyBorder="false" applyFill="true" applyFont="true" applyNumberFormat="false" applyProtection="false" borderId="5" fillId="16" fontId="6" numFmtId="0" xfId="0">
      <alignment horizontal="center" vertical="center"/>
    </xf>
    <xf applyAlignment="true" applyBorder="false" applyFill="true" applyFont="true" applyNumberFormat="false" applyProtection="false" borderId="5" fillId="17" fontId="6" numFmtId="0" xfId="0">
      <alignment horizontal="center" vertical="center"/>
    </xf>
    <xf applyAlignment="true" applyBorder="false" applyFill="true" applyFont="true" applyNumberFormat="false" applyProtection="false" borderId="5" fillId="17" fontId="6" numFmtId="0" xfId="0">
      <alignment horizontal="center" vertical="center" wrapText="true"/>
    </xf>
    <xf applyAlignment="true" applyBorder="false" applyFill="true" applyFont="true" applyNumberFormat="false" applyProtection="false" borderId="5" fillId="18" fontId="6" numFmtId="0" xfId="0">
      <alignment horizontal="center" vertical="center"/>
    </xf>
    <xf applyAlignment="true" applyBorder="false" applyFill="true" applyFont="true" applyNumberFormat="false" applyProtection="false" borderId="5" fillId="19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67" xfId="0">
      <alignment vertical="center"/>
    </xf>
    <xf applyAlignment="true" applyBorder="false" applyFill="false" applyFont="true" applyNumberFormat="true" applyProtection="false" borderId="0" fillId="0" fontId="5" numFmtId="167" xfId="0">
      <alignment vertical="center"/>
    </xf>
    <xf applyAlignment="true" applyBorder="false" applyFill="true" applyFont="true" applyNumberFormat="false" applyProtection="false" borderId="6" fillId="20" fontId="6" numFmtId="0" xfId="0">
      <alignment horizontal="center" vertical="center"/>
    </xf>
    <xf applyAlignment="true" applyBorder="false" applyFill="true" applyFont="true" applyNumberFormat="false" applyProtection="false" borderId="6" fillId="21" fontId="6" numFmtId="0" xfId="0">
      <alignment horizontal="center" vertical="center"/>
    </xf>
    <xf applyAlignment="true" applyBorder="false" applyFill="true" applyFont="true" applyNumberFormat="false" applyProtection="false" borderId="6" fillId="21" fontId="6" numFmtId="0" xfId="0">
      <alignment horizontal="center" vertical="center" wrapText="true"/>
    </xf>
    <xf applyAlignment="true" applyBorder="false" applyFill="true" applyFont="true" applyNumberFormat="false" applyProtection="false" borderId="6" fillId="22" fontId="6" numFmtId="0" xfId="0">
      <alignment horizontal="center" vertical="center"/>
    </xf>
    <xf applyAlignment="true" applyBorder="false" applyFill="true" applyFont="true" applyNumberFormat="false" applyProtection="false" borderId="6" fillId="23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68" xfId="0">
      <alignment vertical="center"/>
    </xf>
    <xf applyAlignment="true" applyBorder="false" applyFill="false" applyFont="true" applyNumberFormat="true" applyProtection="false" borderId="0" fillId="0" fontId="5" numFmtId="168" xfId="0">
      <alignment vertical="center"/>
    </xf>
    <xf applyAlignment="true" applyBorder="false" applyFill="true" applyFont="true" applyNumberFormat="false" applyProtection="false" borderId="7" fillId="24" fontId="6" numFmtId="0" xfId="0">
      <alignment horizontal="center" vertical="center"/>
    </xf>
    <xf applyAlignment="true" applyBorder="false" applyFill="true" applyFont="true" applyNumberFormat="false" applyProtection="false" borderId="7" fillId="25" fontId="6" numFmtId="0" xfId="0">
      <alignment horizontal="center" vertical="center"/>
    </xf>
    <xf applyAlignment="true" applyBorder="false" applyFill="true" applyFont="true" applyNumberFormat="false" applyProtection="false" borderId="7" fillId="25" fontId="6" numFmtId="0" xfId="0">
      <alignment horizontal="center" vertical="center" wrapText="true"/>
    </xf>
    <xf applyAlignment="true" applyBorder="false" applyFill="true" applyFont="true" applyNumberFormat="false" applyProtection="false" borderId="7" fillId="26" fontId="6" numFmtId="0" xfId="0">
      <alignment horizontal="center" vertical="center"/>
    </xf>
    <xf applyAlignment="true" applyBorder="false" applyFill="true" applyFont="true" applyNumberFormat="false" applyProtection="false" borderId="7" fillId="27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69" xfId="0">
      <alignment vertical="center"/>
    </xf>
    <xf applyAlignment="true" applyBorder="false" applyFill="false" applyFont="true" applyNumberFormat="true" applyProtection="false" borderId="0" fillId="0" fontId="5" numFmtId="169" xfId="0">
      <alignment vertical="center"/>
    </xf>
    <xf applyAlignment="true" applyBorder="false" applyFill="true" applyFont="true" applyNumberFormat="false" applyProtection="false" borderId="8" fillId="28" fontId="6" numFmtId="0" xfId="0">
      <alignment horizontal="center" vertical="center"/>
    </xf>
    <xf applyAlignment="true" applyBorder="false" applyFill="true" applyFont="true" applyNumberFormat="false" applyProtection="false" borderId="8" fillId="29" fontId="6" numFmtId="0" xfId="0">
      <alignment horizontal="center" vertical="center"/>
    </xf>
    <xf applyAlignment="true" applyBorder="false" applyFill="true" applyFont="true" applyNumberFormat="false" applyProtection="false" borderId="8" fillId="29" fontId="6" numFmtId="0" xfId="0">
      <alignment horizontal="center" vertical="center" wrapText="true"/>
    </xf>
    <xf applyAlignment="true" applyBorder="false" applyFill="true" applyFont="true" applyNumberFormat="false" applyProtection="false" borderId="8" fillId="30" fontId="6" numFmtId="0" xfId="0">
      <alignment horizontal="center" vertical="center"/>
    </xf>
    <xf applyAlignment="true" applyBorder="false" applyFill="true" applyFont="true" applyNumberFormat="false" applyProtection="false" borderId="8" fillId="31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70" xfId="0">
      <alignment vertical="center"/>
    </xf>
    <xf applyAlignment="true" applyBorder="false" applyFill="false" applyFont="true" applyNumberFormat="true" applyProtection="false" borderId="0" fillId="0" fontId="5" numFmtId="170" xfId="0">
      <alignment vertical="center"/>
    </xf>
    <xf applyAlignment="true" applyBorder="false" applyFill="true" applyFont="true" applyNumberFormat="false" applyProtection="false" borderId="9" fillId="32" fontId="6" numFmtId="0" xfId="0">
      <alignment horizontal="center" vertical="center"/>
    </xf>
    <xf applyAlignment="true" applyBorder="false" applyFill="true" applyFont="true" applyNumberFormat="false" applyProtection="false" borderId="9" fillId="33" fontId="6" numFmtId="0" xfId="0">
      <alignment horizontal="center" vertical="center"/>
    </xf>
    <xf applyAlignment="true" applyBorder="false" applyFill="true" applyFont="true" applyNumberFormat="false" applyProtection="false" borderId="9" fillId="33" fontId="6" numFmtId="0" xfId="0">
      <alignment horizontal="center" vertical="center" wrapText="true"/>
    </xf>
    <xf applyAlignment="true" applyBorder="false" applyFill="true" applyFont="true" applyNumberFormat="false" applyProtection="false" borderId="9" fillId="34" fontId="6" numFmtId="0" xfId="0">
      <alignment horizontal="center" vertical="center"/>
    </xf>
    <xf applyAlignment="true" applyBorder="false" applyFill="true" applyFont="true" applyNumberFormat="false" applyProtection="false" borderId="9" fillId="35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71" xfId="0">
      <alignment vertical="center"/>
    </xf>
    <xf applyAlignment="true" applyBorder="false" applyFill="false" applyFont="true" applyNumberFormat="true" applyProtection="false" borderId="0" fillId="0" fontId="5" numFmtId="171" xfId="0">
      <alignment vertical="center"/>
    </xf>
    <xf applyAlignment="true" applyBorder="false" applyFill="true" applyFont="true" applyNumberFormat="false" applyProtection="false" borderId="10" fillId="36" fontId="6" numFmtId="0" xfId="0">
      <alignment horizontal="center" vertical="center"/>
    </xf>
    <xf applyAlignment="true" applyBorder="false" applyFill="true" applyFont="true" applyNumberFormat="false" applyProtection="false" borderId="10" fillId="37" fontId="6" numFmtId="0" xfId="0">
      <alignment horizontal="center" vertical="center"/>
    </xf>
    <xf applyAlignment="true" applyBorder="false" applyFill="true" applyFont="true" applyNumberFormat="false" applyProtection="false" borderId="10" fillId="37" fontId="6" numFmtId="0" xfId="0">
      <alignment horizontal="center" vertical="center" wrapText="true"/>
    </xf>
    <xf applyAlignment="true" applyBorder="false" applyFill="true" applyFont="true" applyNumberFormat="false" applyProtection="false" borderId="10" fillId="38" fontId="6" numFmtId="0" xfId="0">
      <alignment horizontal="center" vertical="center"/>
    </xf>
    <xf applyAlignment="true" applyBorder="false" applyFill="true" applyFont="true" applyNumberFormat="false" applyProtection="false" borderId="10" fillId="39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5" numFmtId="172" xfId="0">
      <alignment vertical="center"/>
    </xf>
    <xf applyAlignment="true" applyBorder="false" applyFill="false" applyFont="true" applyNumberFormat="true" applyProtection="false" borderId="0" fillId="0" fontId="5" numFmtId="172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0.647887323943662"/>
    <col collapsed="false" customWidth="true" hidden="false" max="3" min="3" style="0" width="12.338028169014084"/>
    <col collapsed="false" customWidth="true" hidden="false" max="5" min="5" style="0" width="12.338028169014084"/>
    <col collapsed="false" customWidth="true" hidden="false" max="7" min="7" style="0" width="12.338028169014084"/>
    <col collapsed="false" customWidth="true" hidden="false" max="9" min="9" style="0" width="12.338028169014084"/>
    <col collapsed="false" customWidth="true" hidden="false" max="2" min="2" style="0" width="12.338028169014084"/>
    <col collapsed="false" customWidth="true" hidden="false" max="4" min="4" style="0" width="12.338028169014084"/>
    <col collapsed="false" customWidth="true" hidden="false" max="6" min="6" style="0" width="12.338028169014084"/>
    <col collapsed="false" customWidth="true" hidden="false" max="8" min="8" style="0" width="12.338028169014084"/>
    <col collapsed="false" customWidth="true" hidden="false" max="10" min="10" style="0" width="10.084507042253522"/>
  </cols>
  <sheetData>
    <row customHeight="true" ht="25" r="1">
      <c r="A1" s="1" t="inlineStr">
        <is>
          <t xml:space="preserve">产销质SIT测试问题总览</t>
        </is>
      </c>
      <c r="B1" s="1"/>
      <c r="C1" s="1"/>
      <c r="D1" s="1"/>
      <c r="E1" s="1"/>
      <c r="F1" s="1"/>
      <c r="G1" s="1"/>
      <c r="H1" s="1"/>
      <c r="I1" s="1"/>
      <c r="J1" s="1"/>
    </row>
    <row customHeight="true" ht="27.380952380952383" r="2">
      <c r="A2" s="2" t="inlineStr">
        <is>
          <t xml:space="preserve">统计口径说明：状态列直接关联各子表「问题状态」列逐状态计数（未修复/修复中/已修复/已验证/非问题/挂起/验证未通过），问题总数＝7 个状态之和；延期数＝「计划解决日期」早于当前日期、且状态为未修复或修复中的问题个数；级别统计关联各子表「问题级别」列（致命/严重/一般/提示）。数据自动关联营销、品质、计划、炼钢、轧钢、精整、冷精、仓储 8 张子表，录入后本页自动更新。</t>
        </is>
      </c>
      <c r="B2" s="2"/>
      <c r="C2" s="2"/>
      <c r="D2" s="2"/>
      <c r="E2" s="2"/>
      <c r="F2" s="2"/>
      <c r="G2" s="2"/>
      <c r="H2" s="2"/>
      <c r="I2" s="2"/>
      <c r="J2" s="2"/>
    </row>
    <row r="3"/>
    <row customHeight="true" ht="17.857142857142858" r="4">
      <c r="A4" s="3" t="inlineStr">
        <is>
          <t xml:space="preserve">一、整体统计概览</t>
        </is>
      </c>
      <c r="B4" s="3"/>
      <c r="C4" s="3"/>
      <c r="D4" s="3"/>
      <c r="E4" s="3"/>
      <c r="F4" s="3"/>
      <c r="G4" s="3"/>
      <c r="H4" s="3"/>
      <c r="I4" s="3"/>
      <c r="J4" s="3"/>
    </row>
    <row customHeight="true" ht="16.666666666666668" r="5">
      <c r="A5" s="4" t="inlineStr">
        <is>
          <t xml:space="preserve">指标</t>
        </is>
      </c>
      <c r="B5" s="4" t="inlineStr">
        <is>
          <t xml:space="preserve">问题总数</t>
        </is>
      </c>
      <c r="C5" s="5" t="inlineStr">
        <is>
          <t xml:space="preserve">未修复</t>
        </is>
      </c>
      <c r="D5" s="5" t="inlineStr">
        <is>
          <t xml:space="preserve">修复中</t>
        </is>
      </c>
      <c r="E5" s="5" t="inlineStr">
        <is>
          <t xml:space="preserve">已修复</t>
        </is>
      </c>
      <c r="F5" s="5" t="inlineStr">
        <is>
          <t xml:space="preserve">已验证</t>
        </is>
      </c>
      <c r="G5" s="5" t="inlineStr">
        <is>
          <t xml:space="preserve">非问题</t>
        </is>
      </c>
      <c r="H5" s="5" t="inlineStr">
        <is>
          <t xml:space="preserve">挂起</t>
        </is>
      </c>
      <c r="I5" s="5" t="inlineStr">
        <is>
          <t xml:space="preserve">验证未通过</t>
        </is>
      </c>
      <c r="J5" s="5" t="inlineStr">
        <is>
          <t xml:space="preserve">延期数</t>
        </is>
      </c>
    </row>
    <row r="6">
      <c r="A6" s="6" t="inlineStr">
        <is>
          <t xml:space="preserve">数值</t>
        </is>
      </c>
      <c r="B6" s="6">
        <f>SUM(B10:B17)</f>
      </c>
      <c r="C6" s="6">
        <f>SUM(C10:C17)</f>
      </c>
      <c r="D6" s="6">
        <f>SUM(D10:D17)</f>
      </c>
      <c r="E6" s="6">
        <f>SUM(E10:E17)</f>
      </c>
      <c r="F6" s="6">
        <f>SUM(F10:F17)</f>
      </c>
      <c r="G6" s="6">
        <f>SUM(G10:G17)</f>
      </c>
      <c r="H6" s="6">
        <f>SUM(H10:H17)</f>
      </c>
      <c r="I6" s="6">
        <f>SUM(I10:I17)</f>
      </c>
      <c r="J6" s="7">
        <f>SUM(J10:J17)</f>
      </c>
    </row>
    <row r="7"/>
    <row customHeight="true" ht="17.857142857142858" r="8">
      <c r="A8" s="3" t="inlineStr">
        <is>
          <t xml:space="preserve">二、各领域状态明细</t>
        </is>
      </c>
      <c r="B8" s="3"/>
      <c r="C8" s="3"/>
      <c r="D8" s="3"/>
      <c r="E8" s="3"/>
      <c r="F8" s="3"/>
      <c r="G8" s="3"/>
      <c r="H8" s="3"/>
      <c r="I8" s="3"/>
      <c r="J8" s="3"/>
    </row>
    <row customHeight="true" ht="16.666666666666668" r="9">
      <c r="A9" s="4" t="inlineStr">
        <is>
          <t xml:space="preserve">领域</t>
        </is>
      </c>
      <c r="B9" s="4" t="inlineStr">
        <is>
          <t xml:space="preserve">问题总数</t>
        </is>
      </c>
      <c r="C9" s="5" t="inlineStr">
        <is>
          <t xml:space="preserve">未修复</t>
        </is>
      </c>
      <c r="D9" s="5" t="inlineStr">
        <is>
          <t xml:space="preserve">修复中</t>
        </is>
      </c>
      <c r="E9" s="5" t="inlineStr">
        <is>
          <t xml:space="preserve">已修复</t>
        </is>
      </c>
      <c r="F9" s="5" t="inlineStr">
        <is>
          <t xml:space="preserve">已验证</t>
        </is>
      </c>
      <c r="G9" s="5" t="inlineStr">
        <is>
          <t xml:space="preserve">非问题</t>
        </is>
      </c>
      <c r="H9" s="5" t="inlineStr">
        <is>
          <t xml:space="preserve">挂起</t>
        </is>
      </c>
      <c r="I9" s="5" t="inlineStr">
        <is>
          <t xml:space="preserve">验证未通过</t>
        </is>
      </c>
      <c r="J9" s="5" t="inlineStr">
        <is>
          <t xml:space="preserve">延期数</t>
        </is>
      </c>
    </row>
    <row r="10">
      <c r="A10" s="8" t="inlineStr">
        <is>
          <t xml:space="preserve">营销</t>
        </is>
      </c>
      <c r="B10" s="8">
        <f t="shared" ref="B10:B17" si="0">SUM(C10:I10)</f>
      </c>
      <c r="C10" s="8">
        <f>COUNTIF('营销'!F:F,"未修复")</f>
      </c>
      <c r="D10" s="8">
        <f>COUNTIF('营销'!F:F,"修复中")</f>
      </c>
      <c r="E10" s="8">
        <f>COUNTIF('营销'!F:F,"已修复")</f>
      </c>
      <c r="F10" s="8">
        <f>COUNTIF('营销'!F:F,"已验证")</f>
      </c>
      <c r="G10" s="8">
        <f>COUNTIF('营销'!F:F,"非问题")</f>
      </c>
      <c r="H10" s="8">
        <f>COUNTIF('营销'!F:F,"挂起")</f>
      </c>
      <c r="I10" s="8">
        <f>COUNTIF('营销'!F:F,"验证未通过")</f>
      </c>
      <c r="J10" s="9">
        <f>COUNTIFS('营销'!R:R,"&lt;"&amp;TODAY(),'营销'!F:F,"未修复")+COUNTIFS('营销'!R:R,"&lt;"&amp;TODAY(),'营销'!F:F,"修复中")</f>
      </c>
    </row>
    <row r="11">
      <c r="A11" s="10" t="inlineStr">
        <is>
          <t xml:space="preserve">品质</t>
        </is>
      </c>
      <c r="B11" s="10">
        <f t="shared" si="0"/>
      </c>
      <c r="C11" s="10">
        <f>COUNTIF('品质'!F:F,"未修复")</f>
      </c>
      <c r="D11" s="10">
        <f>COUNTIF('品质'!F:F,"修复中")</f>
      </c>
      <c r="E11" s="10">
        <f>COUNTIF('品质'!F:F,"已修复")</f>
      </c>
      <c r="F11" s="10">
        <f>COUNTIF('品质'!F:F,"已验证")</f>
      </c>
      <c r="G11" s="10">
        <f>COUNTIF('品质'!F:F,"非问题")</f>
      </c>
      <c r="H11" s="10">
        <f>COUNTIF('品质'!F:F,"挂起")</f>
      </c>
      <c r="I11" s="10">
        <f>COUNTIF('品质'!F:F,"验证未通过")</f>
      </c>
      <c r="J11" s="11">
        <f>COUNTIFS('品质'!R:R,"&lt;"&amp;TODAY(),'品质'!F:F,"未修复")+COUNTIFS('品质'!R:R,"&lt;"&amp;TODAY(),'品质'!F:F,"修复中")</f>
      </c>
    </row>
    <row r="12">
      <c r="A12" s="8" t="inlineStr">
        <is>
          <t xml:space="preserve">计划</t>
        </is>
      </c>
      <c r="B12" s="8">
        <f t="shared" si="0"/>
      </c>
      <c r="C12" s="8">
        <f>COUNTIF('计划'!F:F,"未修复")</f>
      </c>
      <c r="D12" s="8">
        <f>COUNTIF('计划'!F:F,"修复中")</f>
      </c>
      <c r="E12" s="8">
        <f>COUNTIF('计划'!F:F,"已修复")</f>
      </c>
      <c r="F12" s="8">
        <f>COUNTIF('计划'!F:F,"已验证")</f>
      </c>
      <c r="G12" s="8">
        <f>COUNTIF('计划'!F:F,"非问题")</f>
      </c>
      <c r="H12" s="8">
        <f>COUNTIF('计划'!F:F,"挂起")</f>
      </c>
      <c r="I12" s="8">
        <f>COUNTIF('计划'!F:F,"验证未通过")</f>
      </c>
      <c r="J12" s="9">
        <f>COUNTIFS('计划'!R:R,"&lt;"&amp;TODAY(),'计划'!F:F,"未修复")+COUNTIFS('计划'!R:R,"&lt;"&amp;TODAY(),'计划'!F:F,"修复中")</f>
      </c>
    </row>
    <row r="13">
      <c r="A13" s="10" t="inlineStr">
        <is>
          <t xml:space="preserve">炼钢</t>
        </is>
      </c>
      <c r="B13" s="10">
        <f t="shared" si="0"/>
      </c>
      <c r="C13" s="10">
        <f>COUNTIF('炼钢'!F:F,"未修复")</f>
      </c>
      <c r="D13" s="10">
        <f>COUNTIF('炼钢'!F:F,"修复中")</f>
      </c>
      <c r="E13" s="10">
        <f>COUNTIF('炼钢'!F:F,"已修复")</f>
      </c>
      <c r="F13" s="10">
        <f>COUNTIF('炼钢'!F:F,"已验证")</f>
      </c>
      <c r="G13" s="10">
        <f>COUNTIF('炼钢'!F:F,"非问题")</f>
      </c>
      <c r="H13" s="10">
        <f>COUNTIF('炼钢'!F:F,"挂起")</f>
      </c>
      <c r="I13" s="10">
        <f>COUNTIF('炼钢'!F:F,"验证未通过")</f>
      </c>
      <c r="J13" s="11">
        <f>COUNTIFS('炼钢'!R:R,"&lt;"&amp;TODAY(),'炼钢'!F:F,"未修复")+COUNTIFS('炼钢'!R:R,"&lt;"&amp;TODAY(),'炼钢'!F:F,"修复中")</f>
      </c>
    </row>
    <row r="14">
      <c r="A14" s="8" t="inlineStr">
        <is>
          <t xml:space="preserve">轧钢</t>
        </is>
      </c>
      <c r="B14" s="8">
        <f t="shared" si="0"/>
      </c>
      <c r="C14" s="8">
        <f>COUNTIF('轧钢'!F:F,"未修复")</f>
      </c>
      <c r="D14" s="8">
        <f>COUNTIF('轧钢'!F:F,"修复中")</f>
      </c>
      <c r="E14" s="8">
        <f>COUNTIF('轧钢'!F:F,"已修复")</f>
      </c>
      <c r="F14" s="8">
        <f>COUNTIF('轧钢'!F:F,"已验证")</f>
      </c>
      <c r="G14" s="8">
        <f>COUNTIF('轧钢'!F:F,"非问题")</f>
      </c>
      <c r="H14" s="8">
        <f>COUNTIF('轧钢'!F:F,"挂起")</f>
      </c>
      <c r="I14" s="8">
        <f>COUNTIF('轧钢'!F:F,"验证未通过")</f>
      </c>
      <c r="J14" s="9">
        <f>COUNTIFS('轧钢'!R:R,"&lt;"&amp;TODAY(),'轧钢'!F:F,"未修复")+COUNTIFS('轧钢'!R:R,"&lt;"&amp;TODAY(),'轧钢'!F:F,"修复中")</f>
      </c>
    </row>
    <row r="15">
      <c r="A15" s="10" t="inlineStr">
        <is>
          <t xml:space="preserve">精整</t>
        </is>
      </c>
      <c r="B15" s="10">
        <f t="shared" si="0"/>
      </c>
      <c r="C15" s="10">
        <f>COUNTIF('精整'!F:F,"未修复")</f>
      </c>
      <c r="D15" s="10">
        <f>COUNTIF('精整'!F:F,"修复中")</f>
      </c>
      <c r="E15" s="10">
        <f>COUNTIF('精整'!F:F,"已修复")</f>
      </c>
      <c r="F15" s="10">
        <f>COUNTIF('精整'!F:F,"已验证")</f>
      </c>
      <c r="G15" s="10">
        <f>COUNTIF('精整'!F:F,"非问题")</f>
      </c>
      <c r="H15" s="10">
        <f>COUNTIF('精整'!F:F,"挂起")</f>
      </c>
      <c r="I15" s="10">
        <f>COUNTIF('精整'!F:F,"验证未通过")</f>
      </c>
      <c r="J15" s="11">
        <f>COUNTIFS('精整'!R:R,"&lt;"&amp;TODAY(),'精整'!F:F,"未修复")+COUNTIFS('精整'!R:R,"&lt;"&amp;TODAY(),'精整'!F:F,"修复中")</f>
      </c>
    </row>
    <row r="16">
      <c r="A16" s="8" t="inlineStr">
        <is>
          <t xml:space="preserve">冷精</t>
        </is>
      </c>
      <c r="B16" s="8">
        <f t="shared" si="0"/>
      </c>
      <c r="C16" s="8">
        <f>COUNTIF('冷精'!F:F,"未修复")</f>
      </c>
      <c r="D16" s="8">
        <f>COUNTIF('冷精'!F:F,"修复中")</f>
      </c>
      <c r="E16" s="8">
        <f>COUNTIF('冷精'!F:F,"已修复")</f>
      </c>
      <c r="F16" s="8">
        <f>COUNTIF('冷精'!F:F,"已验证")</f>
      </c>
      <c r="G16" s="8">
        <f>COUNTIF('冷精'!F:F,"非问题")</f>
      </c>
      <c r="H16" s="8">
        <f>COUNTIF('冷精'!F:F,"挂起")</f>
      </c>
      <c r="I16" s="8">
        <f>COUNTIF('冷精'!F:F,"验证未通过")</f>
      </c>
      <c r="J16" s="9">
        <f>COUNTIFS('冷精'!R:R,"&lt;"&amp;TODAY(),'冷精'!F:F,"未修复")+COUNTIFS('冷精'!R:R,"&lt;"&amp;TODAY(),'冷精'!F:F,"修复中")</f>
      </c>
    </row>
    <row r="17">
      <c r="A17" s="10" t="inlineStr">
        <is>
          <t xml:space="preserve">仓储</t>
        </is>
      </c>
      <c r="B17" s="10">
        <f t="shared" si="0"/>
      </c>
      <c r="C17" s="10">
        <f>COUNTIF('仓储'!F:F,"未修复")</f>
      </c>
      <c r="D17" s="10">
        <f>COUNTIF('仓储'!F:F,"修复中")</f>
      </c>
      <c r="E17" s="10">
        <f>COUNTIF('仓储'!F:F,"已修复")</f>
      </c>
      <c r="F17" s="10">
        <f>COUNTIF('仓储'!F:F,"已验证")</f>
      </c>
      <c r="G17" s="10">
        <f>COUNTIF('仓储'!F:F,"非问题")</f>
      </c>
      <c r="H17" s="10">
        <f>COUNTIF('仓储'!F:F,"挂起")</f>
      </c>
      <c r="I17" s="10">
        <f>COUNTIF('仓储'!F:F,"验证未通过")</f>
      </c>
      <c r="J17" s="11">
        <f>COUNTIFS('仓储'!R:R,"&lt;"&amp;TODAY(),'仓储'!F:F,"未修复")+COUNTIFS('仓储'!R:R,"&lt;"&amp;TODAY(),'仓储'!F:F,"修复中")</f>
      </c>
    </row>
    <row r="18">
      <c r="A18" s="12" t="inlineStr">
        <is>
          <t xml:space="preserve">合计</t>
        </is>
      </c>
      <c r="B18" s="12">
        <f>SUM(B10:B17)</f>
      </c>
      <c r="C18" s="12">
        <f>SUM(C10:C17)</f>
      </c>
      <c r="D18" s="12">
        <f>SUM(D10:D17)</f>
      </c>
      <c r="E18" s="12">
        <f>SUM(E10:E17)</f>
      </c>
      <c r="F18" s="12">
        <f>SUM(F10:F17)</f>
      </c>
      <c r="G18" s="12">
        <f>SUM(G10:G17)</f>
      </c>
      <c r="H18" s="12">
        <f>SUM(H10:H17)</f>
      </c>
      <c r="I18" s="12">
        <f>SUM(I10:I17)</f>
      </c>
      <c r="J18" s="13">
        <f>SUM(J10:J17)</f>
      </c>
    </row>
    <row r="19"/>
    <row customHeight="true" ht="17.857142857142858" r="20">
      <c r="A20" s="14" t="inlineStr">
        <is>
          <t xml:space="preserve">三、按问题级别统计</t>
        </is>
      </c>
      <c r="B20" s="14"/>
      <c r="C20" s="14"/>
      <c r="D20" s="14"/>
      <c r="E20" s="14"/>
      <c r="F20" s="14"/>
    </row>
    <row customHeight="true" ht="16.666666666666668" r="21">
      <c r="A21" s="4" t="inlineStr">
        <is>
          <t xml:space="preserve">领域</t>
        </is>
      </c>
      <c r="B21" s="5" t="inlineStr">
        <is>
          <t xml:space="preserve">致命</t>
        </is>
      </c>
      <c r="C21" s="5" t="inlineStr">
        <is>
          <t xml:space="preserve">严重</t>
        </is>
      </c>
      <c r="D21" s="5" t="inlineStr">
        <is>
          <t xml:space="preserve">一般</t>
        </is>
      </c>
      <c r="E21" s="5" t="inlineStr">
        <is>
          <t xml:space="preserve">提示</t>
        </is>
      </c>
      <c r="F21" s="4" t="inlineStr">
        <is>
          <t xml:space="preserve">总数</t>
        </is>
      </c>
    </row>
    <row r="22">
      <c r="A22" s="8" t="inlineStr">
        <is>
          <t xml:space="preserve">营销</t>
        </is>
      </c>
      <c r="B22" s="8">
        <f>COUNTIF('营销'!D:D,"致命")</f>
      </c>
      <c r="C22" s="8">
        <f>COUNTIF('营销'!D:D,"严重")</f>
      </c>
      <c r="D22" s="8">
        <f>COUNTIF('营销'!D:D,"一般")</f>
      </c>
      <c r="E22" s="8">
        <f>COUNTIF('营销'!D:D,"提示")</f>
      </c>
      <c r="F22" s="8">
        <f t="shared" ref="F22:F29" si="1">SUM(B22:E22)</f>
      </c>
    </row>
    <row r="23">
      <c r="A23" s="10" t="inlineStr">
        <is>
          <t xml:space="preserve">品质</t>
        </is>
      </c>
      <c r="B23" s="10">
        <f>COUNTIF('品质'!D:D,"致命")</f>
      </c>
      <c r="C23" s="10">
        <f>COUNTIF('品质'!D:D,"严重")</f>
      </c>
      <c r="D23" s="10">
        <f>COUNTIF('品质'!D:D,"一般")</f>
      </c>
      <c r="E23" s="10">
        <f>COUNTIF('品质'!D:D,"提示")</f>
      </c>
      <c r="F23" s="10">
        <f t="shared" si="1"/>
      </c>
    </row>
    <row r="24">
      <c r="A24" s="8" t="inlineStr">
        <is>
          <t xml:space="preserve">计划</t>
        </is>
      </c>
      <c r="B24" s="8">
        <f>COUNTIF('计划'!D:D,"致命")</f>
      </c>
      <c r="C24" s="8">
        <f>COUNTIF('计划'!D:D,"严重")</f>
      </c>
      <c r="D24" s="8">
        <f>COUNTIF('计划'!D:D,"一般")</f>
      </c>
      <c r="E24" s="8">
        <f>COUNTIF('计划'!D:D,"提示")</f>
      </c>
      <c r="F24" s="8">
        <f t="shared" si="1"/>
      </c>
    </row>
    <row r="25">
      <c r="A25" s="10" t="inlineStr">
        <is>
          <t xml:space="preserve">炼钢</t>
        </is>
      </c>
      <c r="B25" s="10">
        <f>COUNTIF('炼钢'!D:D,"致命")</f>
      </c>
      <c r="C25" s="10">
        <f>COUNTIF('炼钢'!D:D,"严重")</f>
      </c>
      <c r="D25" s="10">
        <f>COUNTIF('炼钢'!D:D,"一般")</f>
      </c>
      <c r="E25" s="10">
        <f>COUNTIF('炼钢'!D:D,"提示")</f>
      </c>
      <c r="F25" s="10">
        <f t="shared" si="1"/>
      </c>
    </row>
    <row r="26">
      <c r="A26" s="8" t="inlineStr">
        <is>
          <t xml:space="preserve">轧钢</t>
        </is>
      </c>
      <c r="B26" s="8">
        <f>COUNTIF('轧钢'!D:D,"致命")</f>
      </c>
      <c r="C26" s="8">
        <f>COUNTIF('轧钢'!D:D,"严重")</f>
      </c>
      <c r="D26" s="8">
        <f>COUNTIF('轧钢'!D:D,"一般")</f>
      </c>
      <c r="E26" s="8">
        <f>COUNTIF('轧钢'!D:D,"提示")</f>
      </c>
      <c r="F26" s="8">
        <f t="shared" si="1"/>
      </c>
    </row>
    <row r="27">
      <c r="A27" s="10" t="inlineStr">
        <is>
          <t xml:space="preserve">精整</t>
        </is>
      </c>
      <c r="B27" s="10">
        <f>COUNTIF('精整'!D:D,"致命")</f>
      </c>
      <c r="C27" s="10">
        <f>COUNTIF('精整'!D:D,"严重")</f>
      </c>
      <c r="D27" s="10">
        <f>COUNTIF('精整'!D:D,"一般")</f>
      </c>
      <c r="E27" s="10">
        <f>COUNTIF('精整'!D:D,"提示")</f>
      </c>
      <c r="F27" s="10">
        <f t="shared" si="1"/>
      </c>
    </row>
    <row r="28">
      <c r="A28" s="8" t="inlineStr">
        <is>
          <t xml:space="preserve">冷精</t>
        </is>
      </c>
      <c r="B28" s="8">
        <f>COUNTIF('冷精'!D:D,"致命")</f>
      </c>
      <c r="C28" s="8">
        <f>COUNTIF('冷精'!D:D,"严重")</f>
      </c>
      <c r="D28" s="8">
        <f>COUNTIF('冷精'!D:D,"一般")</f>
      </c>
      <c r="E28" s="8">
        <f>COUNTIF('冷精'!D:D,"提示")</f>
      </c>
      <c r="F28" s="8">
        <f t="shared" si="1"/>
      </c>
    </row>
    <row r="29">
      <c r="A29" s="10" t="inlineStr">
        <is>
          <t xml:space="preserve">仓储</t>
        </is>
      </c>
      <c r="B29" s="10">
        <f>COUNTIF('仓储'!D:D,"致命")</f>
      </c>
      <c r="C29" s="10">
        <f>COUNTIF('仓储'!D:D,"严重")</f>
      </c>
      <c r="D29" s="10">
        <f>COUNTIF('仓储'!D:D,"一般")</f>
      </c>
      <c r="E29" s="10">
        <f>COUNTIF('仓储'!D:D,"提示")</f>
      </c>
      <c r="F29" s="10">
        <f t="shared" si="1"/>
      </c>
    </row>
    <row r="30">
      <c r="A30" s="12" t="inlineStr">
        <is>
          <t xml:space="preserve">合计</t>
        </is>
      </c>
      <c r="B30" s="12">
        <f>SUM(B22:B29)</f>
      </c>
      <c r="C30" s="12">
        <f>SUM(C22:C29)</f>
      </c>
      <c r="D30" s="12">
        <f>SUM(D22:D29)</f>
      </c>
      <c r="E30" s="12">
        <f>SUM(E22:E29)</f>
      </c>
      <c r="F30" s="12">
        <f>SUM(F22:F29)</f>
      </c>
    </row>
  </sheetData>
  <mergeCells>
    <mergeCell ref="A8:J8"/>
    <mergeCell ref="A4:J4"/>
    <mergeCell ref="A2:J2"/>
    <mergeCell ref="A1:J1"/>
    <mergeCell ref="A20:F2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1" min="11" style="0" width="40.18092447301257"/>
  </cols>
  <sheetData>
    <row r="1">
      <c r="A1" s="15" t="inlineStr">
        <is>
          <t xml:space="preserve">序号</t>
        </is>
      </c>
      <c r="B1" s="15" t="inlineStr">
        <is>
          <t xml:space="preserve">测试阶段</t>
        </is>
      </c>
      <c r="C1" s="15" t="inlineStr">
        <is>
          <t xml:space="preserve">领域</t>
        </is>
      </c>
      <c r="D1" s="15" t="inlineStr">
        <is>
          <t xml:space="preserve">问题级别*</t>
        </is>
      </c>
      <c r="E1" s="15" t="inlineStr">
        <is>
          <t xml:space="preserve">问题类型*</t>
        </is>
      </c>
      <c r="F1" s="15" t="inlineStr">
        <is>
          <t xml:space="preserve"> 问题状态*</t>
        </is>
      </c>
      <c r="G1" s="15" t="inlineStr">
        <is>
          <t xml:space="preserve">所属模块*</t>
        </is>
      </c>
      <c r="H1" s="15" t="inlineStr">
        <is>
          <t xml:space="preserve">一级菜单</t>
        </is>
      </c>
      <c r="I1" s="15" t="inlineStr">
        <is>
          <t xml:space="preserve">二级菜单</t>
        </is>
      </c>
      <c r="J1" s="15" t="inlineStr">
        <is>
          <t xml:space="preserve">三级菜单</t>
        </is>
      </c>
      <c r="K1" s="15" t="inlineStr">
        <is>
          <t xml:space="preserve">问题描述</t>
        </is>
      </c>
      <c r="L1" s="15" t="inlineStr">
        <is>
          <t xml:space="preserve">问题截图1</t>
        </is>
      </c>
      <c r="M1" s="15" t="inlineStr">
        <is>
          <t xml:space="preserve">问题截图2</t>
        </is>
      </c>
      <c r="N1" s="15" t="inlineStr">
        <is>
          <t xml:space="preserve">发现者*</t>
        </is>
      </c>
      <c r="O1" s="15" t="inlineStr">
        <is>
          <t xml:space="preserve"> 发现日期</t>
        </is>
      </c>
      <c r="P1" s="16" t="inlineStr">
        <is>
          <t xml:space="preserve">解决者*</t>
        </is>
      </c>
      <c r="Q1" s="17" t="inlineStr">
        <is>
          <t xml:space="preserve">问题原因*</t>
        </is>
      </c>
      <c r="R1" s="16" t="inlineStr">
        <is>
          <t xml:space="preserve">计划解决日期*</t>
        </is>
      </c>
      <c r="S1" s="16" t="inlineStr">
        <is>
          <t xml:space="preserve">实际解决日期*</t>
        </is>
      </c>
      <c r="T1" s="18" t="inlineStr">
        <is>
          <t xml:space="preserve">验证人*</t>
        </is>
      </c>
      <c r="U1" s="18" t="inlineStr">
        <is>
          <t xml:space="preserve">关闭日期*</t>
        </is>
      </c>
      <c r="V1" s="19" t="inlineStr">
        <is>
          <t xml:space="preserve">引入版本或阶段</t>
        </is>
      </c>
      <c r="W1" s="19" t="inlineStr">
        <is>
          <t xml:space="preserve">解决版本</t>
        </is>
      </c>
      <c r="X1" s="19" t="inlineStr">
        <is>
          <t xml:space="preserve">备注</t>
        </is>
      </c>
      <c r="Y1" s="20"/>
      <c r="Z1" s="20"/>
      <c r="AA1" s="20"/>
      <c r="AB1" s="20"/>
      <c r="AC1" s="20"/>
      <c r="AD1" s="20"/>
      <c r="AE1" s="20"/>
    </row>
    <row r="2">
      <c r="R2" s="21"/>
    </row>
    <row r="3">
      <c r="R3" s="21"/>
    </row>
    <row r="4">
      <c r="R4" s="22"/>
    </row>
  </sheetData>
  <dataValidations count="5">
    <dataValidation allowBlank="true" errorStyle="stop" showErrorMessage="true" sqref="C2:C200" type="list">
      <formula1>"营销,品质,计划,炼钢,轧钢,精整,冷精,仓储"</formula1>
    </dataValidation>
    <dataValidation allowBlank="true" errorStyle="stop" showErrorMessage="true" sqref="D2:D200" type="list">
      <formula1>"致命,严重,一般,提示"</formula1>
    </dataValidation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  <dataValidation allowBlank="true" errorStyle="stop" showErrorMessage="true" sqref="B2:B200" type="list">
      <formula1>"SIT阶段一轮,SIT阶段二轮,SIT阶段三轮"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4" min="4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6" min="6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7" min="7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8" min="8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33" min="33" style="0" width="11.211267605633802"/>
    <col collapsed="false" customWidth="true" hidden="false" max="9" min="9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1" min="1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7" min="27" style="0" width="11.211267605633802"/>
    <col collapsed="false" customWidth="true" hidden="false" max="2" min="2" style="0" width="11.211267605633802"/>
  </cols>
  <sheetData>
    <row r="1">
      <c r="A1" s="23" t="inlineStr">
        <is>
          <t xml:space="preserve">序号</t>
        </is>
      </c>
      <c r="B1" s="23" t="inlineStr">
        <is>
          <t xml:space="preserve">测试阶段</t>
        </is>
      </c>
      <c r="C1" s="23" t="inlineStr">
        <is>
          <t xml:space="preserve">领域</t>
        </is>
      </c>
      <c r="D1" s="23" t="inlineStr">
        <is>
          <t xml:space="preserve">问题级别*</t>
        </is>
      </c>
      <c r="E1" s="23" t="inlineStr">
        <is>
          <t xml:space="preserve">问题类型*</t>
        </is>
      </c>
      <c r="F1" s="23" t="inlineStr">
        <is>
          <t xml:space="preserve"> 问题状态*</t>
        </is>
      </c>
      <c r="G1" s="23" t="inlineStr">
        <is>
          <t xml:space="preserve">所属模块*</t>
        </is>
      </c>
      <c r="H1" s="23" t="inlineStr">
        <is>
          <t xml:space="preserve">一级菜单</t>
        </is>
      </c>
      <c r="I1" s="23" t="inlineStr">
        <is>
          <t xml:space="preserve">二级菜单</t>
        </is>
      </c>
      <c r="J1" s="23" t="inlineStr">
        <is>
          <t xml:space="preserve">三级菜单</t>
        </is>
      </c>
      <c r="K1" s="23" t="inlineStr">
        <is>
          <t xml:space="preserve">问题描述</t>
        </is>
      </c>
      <c r="L1" s="23" t="inlineStr">
        <is>
          <t xml:space="preserve">问题截图1</t>
        </is>
      </c>
      <c r="M1" s="23" t="inlineStr">
        <is>
          <t xml:space="preserve">问题截图2</t>
        </is>
      </c>
      <c r="N1" s="23" t="inlineStr">
        <is>
          <t xml:space="preserve">发现者*</t>
        </is>
      </c>
      <c r="O1" s="23" t="inlineStr">
        <is>
          <t xml:space="preserve"> 发现日期</t>
        </is>
      </c>
      <c r="P1" s="24" t="inlineStr">
        <is>
          <t xml:space="preserve">解决者*</t>
        </is>
      </c>
      <c r="Q1" s="25" t="inlineStr">
        <is>
          <t xml:space="preserve">问题原因*</t>
        </is>
      </c>
      <c r="R1" s="24" t="inlineStr">
        <is>
          <t xml:space="preserve">计划解决日期*</t>
        </is>
      </c>
      <c r="S1" s="24" t="inlineStr">
        <is>
          <t xml:space="preserve">实际解决日期*</t>
        </is>
      </c>
      <c r="T1" s="26" t="inlineStr">
        <is>
          <t xml:space="preserve">验证人*</t>
        </is>
      </c>
      <c r="U1" s="26" t="inlineStr">
        <is>
          <t xml:space="preserve">关闭日期*</t>
        </is>
      </c>
      <c r="V1" s="27" t="inlineStr">
        <is>
          <t xml:space="preserve">引入版本或阶段</t>
        </is>
      </c>
      <c r="W1" s="27" t="inlineStr">
        <is>
          <t xml:space="preserve">解决版本</t>
        </is>
      </c>
      <c r="X1" s="27" t="inlineStr">
        <is>
          <t xml:space="preserve">备注</t>
        </is>
      </c>
      <c r="Y1" s="28"/>
      <c r="Z1" s="28"/>
      <c r="AA1" s="28"/>
      <c r="AB1" s="28"/>
      <c r="AC1" s="28"/>
      <c r="AD1" s="28"/>
      <c r="AE1" s="28"/>
      <c r="AF1" s="29"/>
      <c r="AG1" s="29"/>
    </row>
    <row r="2">
      <c r="R2" s="30"/>
    </row>
    <row r="3">
      <c r="R3" s="30"/>
    </row>
    <row r="4">
      <c r="R4" s="31"/>
    </row>
  </sheetData>
  <dataValidations count="5">
    <dataValidation allowBlank="true" errorStyle="stop" showErrorMessage="true" sqref="C2:C200" type="list">
      <formula1>"营销,品质,计划,炼钢,轧钢,精整,冷精,仓储"</formula1>
    </dataValidation>
    <dataValidation allowBlank="true" errorStyle="stop" showErrorMessage="true" sqref="D2:D200" type="list">
      <formula1>"致命,严重,一般,提示"</formula1>
    </dataValidation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  <dataValidation allowBlank="true" errorStyle="stop" showErrorMessage="true" sqref="B2:B200" type="list">
      <formula1>"SIT阶段一轮,SIT阶段二轮,SIT阶段三轮"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7" min="27" style="0" width="11.211267605633802"/>
    <col collapsed="false" customWidth="true" hidden="false" max="1" min="1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28" min="28" style="0" width="11.211267605633802"/>
    <col collapsed="false" customWidth="true" hidden="false" max="2" min="2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33" min="33" style="0" width="11.211267605633802"/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</cols>
  <sheetData>
    <row r="1">
      <c r="A1" s="32" t="inlineStr">
        <is>
          <t xml:space="preserve">序号</t>
        </is>
      </c>
      <c r="B1" s="32" t="inlineStr">
        <is>
          <t xml:space="preserve">测试阶段</t>
        </is>
      </c>
      <c r="C1" s="32" t="inlineStr">
        <is>
          <t xml:space="preserve">领域</t>
        </is>
      </c>
      <c r="D1" s="32" t="inlineStr">
        <is>
          <t xml:space="preserve">问题级别*</t>
        </is>
      </c>
      <c r="E1" s="32" t="inlineStr">
        <is>
          <t xml:space="preserve">问题类型*</t>
        </is>
      </c>
      <c r="F1" s="32" t="inlineStr">
        <is>
          <t xml:space="preserve"> 问题状态*</t>
        </is>
      </c>
      <c r="G1" s="32" t="inlineStr">
        <is>
          <t xml:space="preserve">所属模块*</t>
        </is>
      </c>
      <c r="H1" s="32" t="inlineStr">
        <is>
          <t xml:space="preserve">一级菜单</t>
        </is>
      </c>
      <c r="I1" s="32" t="inlineStr">
        <is>
          <t xml:space="preserve">二级菜单</t>
        </is>
      </c>
      <c r="J1" s="32" t="inlineStr">
        <is>
          <t xml:space="preserve">三级菜单</t>
        </is>
      </c>
      <c r="K1" s="32" t="inlineStr">
        <is>
          <t xml:space="preserve">问题描述</t>
        </is>
      </c>
      <c r="L1" s="32" t="inlineStr">
        <is>
          <t xml:space="preserve">问题截图1</t>
        </is>
      </c>
      <c r="M1" s="32" t="inlineStr">
        <is>
          <t xml:space="preserve">问题截图2</t>
        </is>
      </c>
      <c r="N1" s="32" t="inlineStr">
        <is>
          <t xml:space="preserve">发现者*</t>
        </is>
      </c>
      <c r="O1" s="32" t="inlineStr">
        <is>
          <t xml:space="preserve"> 发现日期</t>
        </is>
      </c>
      <c r="P1" s="33" t="inlineStr">
        <is>
          <t xml:space="preserve">解决者*</t>
        </is>
      </c>
      <c r="Q1" s="34" t="inlineStr">
        <is>
          <t xml:space="preserve">问题原因*</t>
        </is>
      </c>
      <c r="R1" s="33" t="inlineStr">
        <is>
          <t xml:space="preserve">计划解决日期*</t>
        </is>
      </c>
      <c r="S1" s="33" t="inlineStr">
        <is>
          <t xml:space="preserve">实际解决日期*</t>
        </is>
      </c>
      <c r="T1" s="35" t="inlineStr">
        <is>
          <t xml:space="preserve">验证人*</t>
        </is>
      </c>
      <c r="U1" s="35" t="inlineStr">
        <is>
          <t xml:space="preserve">关闭日期*</t>
        </is>
      </c>
      <c r="V1" s="36" t="inlineStr">
        <is>
          <t xml:space="preserve">引入版本或阶段</t>
        </is>
      </c>
      <c r="W1" s="36" t="inlineStr">
        <is>
          <t xml:space="preserve">解决版本</t>
        </is>
      </c>
      <c r="X1" s="36" t="inlineStr">
        <is>
          <t xml:space="preserve">备注</t>
        </is>
      </c>
      <c r="Y1" s="37"/>
      <c r="Z1" s="37"/>
      <c r="AA1" s="37"/>
      <c r="AB1" s="37"/>
      <c r="AC1" s="37"/>
      <c r="AD1" s="37"/>
      <c r="AE1" s="37"/>
      <c r="AF1" s="38"/>
      <c r="AG1" s="38"/>
    </row>
    <row r="2">
      <c r="R2" s="39"/>
    </row>
    <row r="3">
      <c r="R3" s="39"/>
    </row>
    <row r="4">
      <c r="R4" s="40"/>
    </row>
  </sheetData>
  <dataValidations count="5">
    <dataValidation allowBlank="true" errorStyle="stop" showErrorMessage="true" sqref="B2:B200" type="list">
      <formula1>"SIT阶段一轮,SIT阶段二轮,SIT阶段三轮"</formula1>
    </dataValidation>
    <dataValidation allowBlank="true" errorStyle="stop" showErrorMessage="true" sqref="C2:C200" type="list">
      <formula1>"营销,品质,计划,炼钢,轧钢,精整,冷精,仓储"</formula1>
    </dataValidation>
    <dataValidation allowBlank="true" errorStyle="stop" showErrorMessage="true" sqref="D2:D200" type="list">
      <formula1>"致命,严重,一般,提示"</formula1>
    </dataValidation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2" min="2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33" min="33" style="0" width="11.211267605633802"/>
    <col collapsed="false" customWidth="true" hidden="false" max="7" min="7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8" min="8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5" min="5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6" min="6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3" min="3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4" min="4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7" min="27" style="0" width="11.211267605633802"/>
  </cols>
  <sheetData>
    <row r="1">
      <c r="A1" s="41" t="inlineStr">
        <is>
          <t xml:space="preserve">序号</t>
        </is>
      </c>
      <c r="B1" s="41" t="inlineStr">
        <is>
          <t xml:space="preserve">测试阶段</t>
        </is>
      </c>
      <c r="C1" s="41" t="inlineStr">
        <is>
          <t xml:space="preserve">领域</t>
        </is>
      </c>
      <c r="D1" s="41" t="inlineStr">
        <is>
          <t xml:space="preserve">问题级别*</t>
        </is>
      </c>
      <c r="E1" s="41" t="inlineStr">
        <is>
          <t xml:space="preserve">问题类型*</t>
        </is>
      </c>
      <c r="F1" s="41" t="inlineStr">
        <is>
          <t xml:space="preserve"> 问题状态*</t>
        </is>
      </c>
      <c r="G1" s="41" t="inlineStr">
        <is>
          <t xml:space="preserve">所属模块*</t>
        </is>
      </c>
      <c r="H1" s="41" t="inlineStr">
        <is>
          <t xml:space="preserve">一级菜单</t>
        </is>
      </c>
      <c r="I1" s="41" t="inlineStr">
        <is>
          <t xml:space="preserve">二级菜单</t>
        </is>
      </c>
      <c r="J1" s="41" t="inlineStr">
        <is>
          <t xml:space="preserve">三级菜单</t>
        </is>
      </c>
      <c r="K1" s="41" t="inlineStr">
        <is>
          <t xml:space="preserve">问题描述</t>
        </is>
      </c>
      <c r="L1" s="41" t="inlineStr">
        <is>
          <t xml:space="preserve">问题截图1</t>
        </is>
      </c>
      <c r="M1" s="41" t="inlineStr">
        <is>
          <t xml:space="preserve">问题截图2</t>
        </is>
      </c>
      <c r="N1" s="41" t="inlineStr">
        <is>
          <t xml:space="preserve">发现者*</t>
        </is>
      </c>
      <c r="O1" s="41" t="inlineStr">
        <is>
          <t xml:space="preserve"> 发现日期</t>
        </is>
      </c>
      <c r="P1" s="42" t="inlineStr">
        <is>
          <t xml:space="preserve">解决者*</t>
        </is>
      </c>
      <c r="Q1" s="43" t="inlineStr">
        <is>
          <t xml:space="preserve">问题原因*</t>
        </is>
      </c>
      <c r="R1" s="42" t="inlineStr">
        <is>
          <t xml:space="preserve">计划解决日期*</t>
        </is>
      </c>
      <c r="S1" s="42" t="inlineStr">
        <is>
          <t xml:space="preserve">实际解决日期*</t>
        </is>
      </c>
      <c r="T1" s="44" t="inlineStr">
        <is>
          <t xml:space="preserve">验证人*</t>
        </is>
      </c>
      <c r="U1" s="44" t="inlineStr">
        <is>
          <t xml:space="preserve">关闭日期*</t>
        </is>
      </c>
      <c r="V1" s="45" t="inlineStr">
        <is>
          <t xml:space="preserve">引入版本或阶段</t>
        </is>
      </c>
      <c r="W1" s="45" t="inlineStr">
        <is>
          <t xml:space="preserve">解决版本</t>
        </is>
      </c>
      <c r="X1" s="45" t="inlineStr">
        <is>
          <t xml:space="preserve">备注</t>
        </is>
      </c>
      <c r="Y1" s="46"/>
      <c r="Z1" s="46"/>
      <c r="AA1" s="46"/>
      <c r="AB1" s="46"/>
      <c r="AC1" s="46"/>
      <c r="AD1" s="46"/>
      <c r="AE1" s="46"/>
      <c r="AF1" s="47"/>
      <c r="AG1" s="47"/>
    </row>
    <row r="2">
      <c r="R2" s="48"/>
    </row>
    <row r="3">
      <c r="R3" s="48"/>
    </row>
    <row r="4">
      <c r="R4" s="49"/>
    </row>
  </sheetData>
  <dataValidations count="5">
    <dataValidation allowBlank="true" errorStyle="stop" showErrorMessage="true" sqref="C2:C200" type="list">
      <formula1>"营销,品质,计划,炼钢,轧钢,精整,冷精,仓储"</formula1>
    </dataValidation>
    <dataValidation allowBlank="true" errorStyle="stop" showErrorMessage="true" sqref="D2:D200" type="list">
      <formula1>"致命,严重,一般,提示"</formula1>
    </dataValidation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  <dataValidation allowBlank="true" errorStyle="stop" showErrorMessage="true" sqref="B2:B200" type="list">
      <formula1>"SIT阶段一轮,SIT阶段二轮,SIT阶段三轮"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4" min="4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1" min="1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33" min="33" style="0" width="11.211267605633802"/>
    <col collapsed="false" customWidth="true" hidden="false" max="2" min="2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7" min="7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8" min="8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7" min="27" style="0" width="11.211267605633802"/>
  </cols>
  <sheetData>
    <row r="1">
      <c r="A1" s="50" t="inlineStr">
        <is>
          <t xml:space="preserve">序号</t>
        </is>
      </c>
      <c r="B1" s="50" t="inlineStr">
        <is>
          <t xml:space="preserve">测试阶段</t>
        </is>
      </c>
      <c r="C1" s="50" t="inlineStr">
        <is>
          <t xml:space="preserve">领域</t>
        </is>
      </c>
      <c r="D1" s="50" t="inlineStr">
        <is>
          <t xml:space="preserve">问题级别*</t>
        </is>
      </c>
      <c r="E1" s="50" t="inlineStr">
        <is>
          <t xml:space="preserve">问题类型*</t>
        </is>
      </c>
      <c r="F1" s="50" t="inlineStr">
        <is>
          <t xml:space="preserve"> 问题状态*</t>
        </is>
      </c>
      <c r="G1" s="50" t="inlineStr">
        <is>
          <t xml:space="preserve">所属模块*</t>
        </is>
      </c>
      <c r="H1" s="50" t="inlineStr">
        <is>
          <t xml:space="preserve">一级菜单</t>
        </is>
      </c>
      <c r="I1" s="50" t="inlineStr">
        <is>
          <t xml:space="preserve">二级菜单</t>
        </is>
      </c>
      <c r="J1" s="50" t="inlineStr">
        <is>
          <t xml:space="preserve">三级菜单</t>
        </is>
      </c>
      <c r="K1" s="50" t="inlineStr">
        <is>
          <t xml:space="preserve">问题描述</t>
        </is>
      </c>
      <c r="L1" s="50" t="inlineStr">
        <is>
          <t xml:space="preserve">问题截图1</t>
        </is>
      </c>
      <c r="M1" s="50" t="inlineStr">
        <is>
          <t xml:space="preserve">问题截图2</t>
        </is>
      </c>
      <c r="N1" s="50" t="inlineStr">
        <is>
          <t xml:space="preserve">发现者*</t>
        </is>
      </c>
      <c r="O1" s="50" t="inlineStr">
        <is>
          <t xml:space="preserve"> 发现日期</t>
        </is>
      </c>
      <c r="P1" s="51" t="inlineStr">
        <is>
          <t xml:space="preserve">解决者*</t>
        </is>
      </c>
      <c r="Q1" s="52" t="inlineStr">
        <is>
          <t xml:space="preserve">问题原因*</t>
        </is>
      </c>
      <c r="R1" s="51" t="inlineStr">
        <is>
          <t xml:space="preserve">计划解决日期*</t>
        </is>
      </c>
      <c r="S1" s="51" t="inlineStr">
        <is>
          <t xml:space="preserve">实际解决日期*</t>
        </is>
      </c>
      <c r="T1" s="53" t="inlineStr">
        <is>
          <t xml:space="preserve">验证人*</t>
        </is>
      </c>
      <c r="U1" s="53" t="inlineStr">
        <is>
          <t xml:space="preserve">关闭日期*</t>
        </is>
      </c>
      <c r="V1" s="54" t="inlineStr">
        <is>
          <t xml:space="preserve">引入版本或阶段</t>
        </is>
      </c>
      <c r="W1" s="54" t="inlineStr">
        <is>
          <t xml:space="preserve">解决版本</t>
        </is>
      </c>
      <c r="X1" s="54" t="inlineStr">
        <is>
          <t xml:space="preserve">备注</t>
        </is>
      </c>
      <c r="Y1" s="55"/>
      <c r="Z1" s="55"/>
      <c r="AA1" s="55"/>
      <c r="AB1" s="55"/>
      <c r="AC1" s="55"/>
      <c r="AD1" s="55"/>
      <c r="AE1" s="55"/>
      <c r="AF1" s="56"/>
      <c r="AG1" s="56"/>
    </row>
    <row r="2">
      <c r="R2" s="57"/>
    </row>
    <row r="3">
      <c r="R3" s="57"/>
    </row>
    <row r="4">
      <c r="R4" s="58"/>
    </row>
  </sheetData>
  <dataValidations count="5">
    <dataValidation allowBlank="true" errorStyle="stop" showErrorMessage="true" sqref="D2:D200" type="list">
      <formula1>"致命,严重,一般,提示"</formula1>
    </dataValidation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  <dataValidation allowBlank="true" errorStyle="stop" showErrorMessage="true" sqref="B2:B200" type="list">
      <formula1>"SIT阶段一轮,SIT阶段二轮,SIT阶段三轮"</formula1>
    </dataValidation>
    <dataValidation allowBlank="true" errorStyle="stop" showErrorMessage="true" sqref="C2:C200" type="list">
      <formula1>"营销,品质,计划,炼钢,轧钢,精整,冷精,仓储"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7" min="27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1" min="1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33" min="33" style="0" width="11.211267605633802"/>
    <col collapsed="false" customWidth="true" hidden="false" max="2" min="2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</cols>
  <sheetData>
    <row r="1">
      <c r="A1" s="59" t="inlineStr">
        <is>
          <t xml:space="preserve">序号</t>
        </is>
      </c>
      <c r="B1" s="59" t="inlineStr">
        <is>
          <t xml:space="preserve">测试阶段</t>
        </is>
      </c>
      <c r="C1" s="59" t="inlineStr">
        <is>
          <t xml:space="preserve">领域</t>
        </is>
      </c>
      <c r="D1" s="59" t="inlineStr">
        <is>
          <t xml:space="preserve">问题级别*</t>
        </is>
      </c>
      <c r="E1" s="59" t="inlineStr">
        <is>
          <t xml:space="preserve">问题类型*</t>
        </is>
      </c>
      <c r="F1" s="59" t="inlineStr">
        <is>
          <t xml:space="preserve"> 问题状态*</t>
        </is>
      </c>
      <c r="G1" s="59" t="inlineStr">
        <is>
          <t xml:space="preserve">所属模块*</t>
        </is>
      </c>
      <c r="H1" s="59" t="inlineStr">
        <is>
          <t xml:space="preserve">一级菜单</t>
        </is>
      </c>
      <c r="I1" s="59" t="inlineStr">
        <is>
          <t xml:space="preserve">二级菜单</t>
        </is>
      </c>
      <c r="J1" s="59" t="inlineStr">
        <is>
          <t xml:space="preserve">三级菜单</t>
        </is>
      </c>
      <c r="K1" s="59" t="inlineStr">
        <is>
          <t xml:space="preserve">问题描述</t>
        </is>
      </c>
      <c r="L1" s="59" t="inlineStr">
        <is>
          <t xml:space="preserve">问题截图1</t>
        </is>
      </c>
      <c r="M1" s="59" t="inlineStr">
        <is>
          <t xml:space="preserve">问题截图2</t>
        </is>
      </c>
      <c r="N1" s="59" t="inlineStr">
        <is>
          <t xml:space="preserve">发现者*</t>
        </is>
      </c>
      <c r="O1" s="59" t="inlineStr">
        <is>
          <t xml:space="preserve"> 发现日期</t>
        </is>
      </c>
      <c r="P1" s="60" t="inlineStr">
        <is>
          <t xml:space="preserve">解决者*</t>
        </is>
      </c>
      <c r="Q1" s="61" t="inlineStr">
        <is>
          <t xml:space="preserve">问题原因*</t>
        </is>
      </c>
      <c r="R1" s="60" t="inlineStr">
        <is>
          <t xml:space="preserve">计划解决日期*</t>
        </is>
      </c>
      <c r="S1" s="60" t="inlineStr">
        <is>
          <t xml:space="preserve">实际解决日期*</t>
        </is>
      </c>
      <c r="T1" s="62" t="inlineStr">
        <is>
          <t xml:space="preserve">验证人*</t>
        </is>
      </c>
      <c r="U1" s="62" t="inlineStr">
        <is>
          <t xml:space="preserve">关闭日期*</t>
        </is>
      </c>
      <c r="V1" s="63" t="inlineStr">
        <is>
          <t xml:space="preserve">引入版本或阶段</t>
        </is>
      </c>
      <c r="W1" s="63" t="inlineStr">
        <is>
          <t xml:space="preserve">解决版本</t>
        </is>
      </c>
      <c r="X1" s="63" t="inlineStr">
        <is>
          <t xml:space="preserve">备注</t>
        </is>
      </c>
      <c r="Y1" s="64"/>
      <c r="Z1" s="64"/>
      <c r="AA1" s="64"/>
      <c r="AB1" s="64"/>
      <c r="AC1" s="64"/>
      <c r="AD1" s="64"/>
      <c r="AE1" s="64"/>
      <c r="AF1" s="65"/>
      <c r="AG1" s="65"/>
    </row>
    <row r="2">
      <c r="R2" s="66"/>
    </row>
    <row r="3">
      <c r="R3" s="66"/>
    </row>
    <row r="4">
      <c r="R4" s="67"/>
    </row>
  </sheetData>
  <dataValidations count="5">
    <dataValidation allowBlank="true" errorStyle="stop" showErrorMessage="true" sqref="B2:B200" type="list">
      <formula1>"SIT阶段一轮,SIT阶段二轮,SIT阶段三轮"</formula1>
    </dataValidation>
    <dataValidation allowBlank="true" errorStyle="stop" showErrorMessage="true" sqref="C2:C200" type="list">
      <formula1>"营销,品质,计划,炼钢,轧钢,精整,冷精,仓储"</formula1>
    </dataValidation>
    <dataValidation allowBlank="true" errorStyle="stop" showErrorMessage="true" sqref="D2:D200" type="list">
      <formula1>"致命,严重,一般,提示"</formula1>
    </dataValidation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</dataValidation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5" min="25" style="0" width="11.211267605633802"/>
    <col collapsed="false" customWidth="true" hidden="false" max="2" min="2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32" min="32" style="0" width="11.211267605633802"/>
    <col collapsed="false" customWidth="true" hidden="false" max="33" min="33" style="0" width="11.211267605633802"/>
    <col collapsed="false" customWidth="true" hidden="false" max="1" min="1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1" min="31" style="0" width="11.211267605633802"/>
    <col collapsed="false" customWidth="true" hidden="false" max="8" min="8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0" min="30" style="0" width="11.211267605633802"/>
    <col collapsed="false" customWidth="true" hidden="false" max="7" min="7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29" min="29" style="0" width="11.211267605633802"/>
    <col collapsed="false" customWidth="true" hidden="false" max="6" min="6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5" min="5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27" min="27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19" min="19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3" min="3" style="0" width="11.211267605633802"/>
    <col collapsed="false" customWidth="true" hidden="false" max="10" min="10" style="0" width="11.211267605633802"/>
    <col collapsed="false" customWidth="true" hidden="false" max="11" min="11" style="0" width="11.211267605633802"/>
  </cols>
  <sheetData>
    <row r="1">
      <c r="A1" s="68" t="inlineStr">
        <is>
          <t xml:space="preserve">序号</t>
        </is>
      </c>
      <c r="B1" s="68" t="inlineStr">
        <is>
          <t xml:space="preserve">测试阶段</t>
        </is>
      </c>
      <c r="C1" s="68" t="inlineStr">
        <is>
          <t xml:space="preserve">领域</t>
        </is>
      </c>
      <c r="D1" s="68" t="inlineStr">
        <is>
          <t xml:space="preserve">问题级别*</t>
        </is>
      </c>
      <c r="E1" s="68" t="inlineStr">
        <is>
          <t xml:space="preserve">问题类型*</t>
        </is>
      </c>
      <c r="F1" s="68" t="inlineStr">
        <is>
          <t xml:space="preserve"> 问题状态*</t>
        </is>
      </c>
      <c r="G1" s="68" t="inlineStr">
        <is>
          <t xml:space="preserve">所属模块*</t>
        </is>
      </c>
      <c r="H1" s="68" t="inlineStr">
        <is>
          <t xml:space="preserve">一级菜单</t>
        </is>
      </c>
      <c r="I1" s="68" t="inlineStr">
        <is>
          <t xml:space="preserve">二级菜单</t>
        </is>
      </c>
      <c r="J1" s="68" t="inlineStr">
        <is>
          <t xml:space="preserve">三级菜单</t>
        </is>
      </c>
      <c r="K1" s="68" t="inlineStr">
        <is>
          <t xml:space="preserve">问题描述</t>
        </is>
      </c>
      <c r="L1" s="68" t="inlineStr">
        <is>
          <t xml:space="preserve">问题截图1</t>
        </is>
      </c>
      <c r="M1" s="68" t="inlineStr">
        <is>
          <t xml:space="preserve">问题截图2</t>
        </is>
      </c>
      <c r="N1" s="68" t="inlineStr">
        <is>
          <t xml:space="preserve">发现者*</t>
        </is>
      </c>
      <c r="O1" s="68" t="inlineStr">
        <is>
          <t xml:space="preserve"> 发现日期</t>
        </is>
      </c>
      <c r="P1" s="69" t="inlineStr">
        <is>
          <t xml:space="preserve">解决者*</t>
        </is>
      </c>
      <c r="Q1" s="70" t="inlineStr">
        <is>
          <t xml:space="preserve">问题原因*</t>
        </is>
      </c>
      <c r="R1" s="69" t="inlineStr">
        <is>
          <t xml:space="preserve">计划解决日期*</t>
        </is>
      </c>
      <c r="S1" s="69" t="inlineStr">
        <is>
          <t xml:space="preserve">实际解决日期*</t>
        </is>
      </c>
      <c r="T1" s="71" t="inlineStr">
        <is>
          <t xml:space="preserve">验证人*</t>
        </is>
      </c>
      <c r="U1" s="71" t="inlineStr">
        <is>
          <t xml:space="preserve">关闭日期*</t>
        </is>
      </c>
      <c r="V1" s="72" t="inlineStr">
        <is>
          <t xml:space="preserve">引入版本或阶段</t>
        </is>
      </c>
      <c r="W1" s="72" t="inlineStr">
        <is>
          <t xml:space="preserve">解决版本</t>
        </is>
      </c>
      <c r="X1" s="72" t="inlineStr">
        <is>
          <t xml:space="preserve">备注</t>
        </is>
      </c>
      <c r="Y1" s="73"/>
      <c r="Z1" s="73"/>
      <c r="AA1" s="73"/>
      <c r="AB1" s="73"/>
      <c r="AC1" s="73"/>
      <c r="AD1" s="73"/>
      <c r="AE1" s="73"/>
      <c r="AF1" s="74"/>
      <c r="AG1" s="74"/>
    </row>
    <row r="2">
      <c r="R2" s="75"/>
    </row>
    <row r="3">
      <c r="R3" s="75"/>
    </row>
    <row r="4">
      <c r="R4" s="76"/>
    </row>
  </sheetData>
  <dataValidations count="5"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  <dataValidation allowBlank="true" errorStyle="stop" showErrorMessage="true" sqref="B2:B200" type="list">
      <formula1>"SIT阶段一轮,SIT阶段二轮,SIT阶段三轮"</formula1>
    </dataValidation>
    <dataValidation allowBlank="true" errorStyle="stop" showErrorMessage="true" sqref="C2:C200" type="list">
      <formula1>"营销,品质,计划,炼钢,轧钢,精整,冷精,仓储"</formula1>
    </dataValidation>
    <dataValidation allowBlank="true" errorStyle="stop" showErrorMessage="true" sqref="D2:D200" type="list">
      <formula1>"致命,严重,一般,提示"</formula1>
    </dataValidation>
  </dataValidation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33" min="33" style="0" width="11.211267605633802"/>
    <col collapsed="false" customWidth="true" hidden="false" max="1" min="1" style="0" width="11.211267605633802"/>
    <col collapsed="false" customWidth="true" hidden="false" max="9" min="9" style="0" width="11.211267605633802"/>
    <col collapsed="false" customWidth="true" hidden="false" max="18" min="18" style="0" width="11.211267605633802"/>
    <col collapsed="false" customWidth="true" hidden="false" max="25" min="25" style="0" width="11.211267605633802"/>
    <col collapsed="false" customWidth="true" hidden="false" max="2" min="2" style="0" width="11.211267605633802"/>
    <col collapsed="false" customWidth="true" hidden="false" max="10" min="10" style="0" width="11.211267605633802"/>
    <col collapsed="false" customWidth="true" hidden="false" max="19" min="19" style="0" width="11.211267605633802"/>
    <col collapsed="false" customWidth="true" hidden="false" max="26" min="26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20" min="20" style="0" width="11.211267605633802"/>
    <col collapsed="false" customWidth="true" hidden="false" max="27" min="27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1" min="21" style="0" width="11.211267605633802"/>
    <col collapsed="false" customWidth="true" hidden="false" max="28" min="28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2" min="22" style="0" width="11.211267605633802"/>
    <col collapsed="false" customWidth="true" hidden="false" max="29" min="29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23" min="23" style="0" width="11.211267605633802"/>
    <col collapsed="false" customWidth="true" hidden="false" max="30" min="30" style="0" width="11.211267605633802"/>
    <col collapsed="false" customWidth="true" hidden="false" max="31" min="31" style="0" width="11.211267605633802"/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24" min="24" style="0" width="11.211267605633802"/>
    <col collapsed="false" customWidth="true" hidden="false" max="32" min="32" style="0" width="11.211267605633802"/>
  </cols>
  <sheetData>
    <row r="1">
      <c r="A1" s="77" t="inlineStr">
        <is>
          <t xml:space="preserve">序号</t>
        </is>
      </c>
      <c r="B1" s="77" t="inlineStr">
        <is>
          <t xml:space="preserve">测试阶段</t>
        </is>
      </c>
      <c r="C1" s="77" t="inlineStr">
        <is>
          <t xml:space="preserve">领域</t>
        </is>
      </c>
      <c r="D1" s="77" t="inlineStr">
        <is>
          <t xml:space="preserve">问题级别*</t>
        </is>
      </c>
      <c r="E1" s="77" t="inlineStr">
        <is>
          <t xml:space="preserve">问题类型*</t>
        </is>
      </c>
      <c r="F1" s="77" t="inlineStr">
        <is>
          <t xml:space="preserve"> 问题状态*</t>
        </is>
      </c>
      <c r="G1" s="77" t="inlineStr">
        <is>
          <t xml:space="preserve">所属模块*</t>
        </is>
      </c>
      <c r="H1" s="77" t="inlineStr">
        <is>
          <t xml:space="preserve">一级菜单</t>
        </is>
      </c>
      <c r="I1" s="77" t="inlineStr">
        <is>
          <t xml:space="preserve">二级菜单</t>
        </is>
      </c>
      <c r="J1" s="77" t="inlineStr">
        <is>
          <t xml:space="preserve">三级菜单</t>
        </is>
      </c>
      <c r="K1" s="77" t="inlineStr">
        <is>
          <t xml:space="preserve">问题描述</t>
        </is>
      </c>
      <c r="L1" s="77" t="inlineStr">
        <is>
          <t xml:space="preserve">问题截图1</t>
        </is>
      </c>
      <c r="M1" s="77" t="inlineStr">
        <is>
          <t xml:space="preserve">问题截图2</t>
        </is>
      </c>
      <c r="N1" s="77" t="inlineStr">
        <is>
          <t xml:space="preserve">发现者*</t>
        </is>
      </c>
      <c r="O1" s="77" t="inlineStr">
        <is>
          <t xml:space="preserve"> 发现日期</t>
        </is>
      </c>
      <c r="P1" s="78" t="inlineStr">
        <is>
          <t xml:space="preserve">解决者*</t>
        </is>
      </c>
      <c r="Q1" s="79" t="inlineStr">
        <is>
          <t xml:space="preserve">问题原因*</t>
        </is>
      </c>
      <c r="R1" s="78" t="inlineStr">
        <is>
          <t xml:space="preserve">计划解决日期*</t>
        </is>
      </c>
      <c r="S1" s="78" t="inlineStr">
        <is>
          <t xml:space="preserve">实际解决日期*</t>
        </is>
      </c>
      <c r="T1" s="80" t="inlineStr">
        <is>
          <t xml:space="preserve">验证人*</t>
        </is>
      </c>
      <c r="U1" s="80" t="inlineStr">
        <is>
          <t xml:space="preserve">关闭日期*</t>
        </is>
      </c>
      <c r="V1" s="81" t="inlineStr">
        <is>
          <t xml:space="preserve">引入版本或阶段</t>
        </is>
      </c>
      <c r="W1" s="81" t="inlineStr">
        <is>
          <t xml:space="preserve">解决版本</t>
        </is>
      </c>
      <c r="X1" s="81" t="inlineStr">
        <is>
          <t xml:space="preserve">备注</t>
        </is>
      </c>
      <c r="Y1" s="82"/>
      <c r="Z1" s="82"/>
      <c r="AA1" s="82"/>
      <c r="AB1" s="82"/>
      <c r="AC1" s="82"/>
      <c r="AD1" s="82"/>
      <c r="AE1" s="82"/>
      <c r="AF1" s="83"/>
      <c r="AG1" s="83"/>
    </row>
    <row r="2">
      <c r="R2" s="84"/>
    </row>
    <row r="3">
      <c r="R3" s="84"/>
    </row>
    <row r="4">
      <c r="R4" s="85"/>
    </row>
  </sheetData>
  <dataValidations count="5">
    <dataValidation allowBlank="true" errorStyle="stop" showErrorMessage="true" sqref="C2:C200" type="list">
      <formula1>"营销,品质,计划,炼钢,轧钢,精整,冷精,仓储"</formula1>
    </dataValidation>
    <dataValidation allowBlank="true" errorStyle="stop" showErrorMessage="true" sqref="D2:D200" type="list">
      <formula1>"致命,严重,一般,提示"</formula1>
    </dataValidation>
    <dataValidation allowBlank="true" errorStyle="stop" showErrorMessage="true" sqref="E2:E200" type="list">
      <formula1>"功能,接口,性能,UI,易用性,兼容"</formula1>
    </dataValidation>
    <dataValidation allowBlank="true" errorStyle="stop" showErrorMessage="true" sqref="F2:F200" type="list">
      <formula1>"未修复,修复中,已修复,已验证,非问题,挂起,验证未通过"</formula1>
    </dataValidation>
    <dataValidation allowBlank="true" errorStyle="stop" showErrorMessage="true" sqref="B2:B200" type="list">
      <formula1>"SIT阶段一轮,SIT阶段二轮,SIT阶段三轮"</formula1>
    </dataValidation>
  </dataValidations>
</worksheet>
</file>